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ilestones" sheetId="2" state="visible" r:id="rId2"/>
    <sheet name="Risk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PMO Tracker (SYNTHETIC DEMO DATA, not real company or GMP data)</t>
        </is>
      </c>
    </row>
    <row r="2">
      <c r="A2" s="2" t="inlineStr"/>
    </row>
    <row r="3">
      <c r="A3" s="2" t="inlineStr">
        <is>
          <t>How to use:</t>
        </is>
      </c>
    </row>
    <row r="4">
      <c r="A4" s="2" t="inlineStr">
        <is>
          <t>Blue text = inputs you type. Black text = formulas; do not overwrite.</t>
        </is>
      </c>
    </row>
    <row r="5">
      <c r="A5" s="2" t="inlineStr">
        <is>
          <t>Milestones: edit Status, Baseline, Forecast, Critical Path. Slip and RAG update automatically.</t>
        </is>
      </c>
    </row>
    <row r="6">
      <c r="A6" s="2" t="inlineStr">
        <is>
          <t>Risks: score Severity, Occurrence, Detection 1-10 (pFMEA style). RPN = S x O x D.</t>
        </is>
      </c>
    </row>
    <row r="7">
      <c r="A7" s="2" t="inlineStr">
        <is>
          <t>Dashboard: read-only roll-up per project.</t>
        </is>
      </c>
    </row>
    <row r="8">
      <c r="A8" s="2" t="inlineStr"/>
    </row>
    <row r="9">
      <c r="A9" s="2" t="inlineStr">
        <is>
          <t>RAG rule (same as .claude/skills/pmo-status-report):</t>
        </is>
      </c>
    </row>
    <row r="10">
      <c r="A10" s="2" t="inlineStr">
        <is>
          <t>Complete = Green. Red = Delayed, or critical path slip &gt; 30 days.</t>
        </is>
      </c>
    </row>
    <row r="11">
      <c r="A11" s="2" t="inlineStr">
        <is>
          <t>Amber = At Risk, or slip 8-30 days. Otherwise Green.</t>
        </is>
      </c>
    </row>
    <row r="12">
      <c r="A12" s="2" t="inlineStr">
        <is>
          <t>Risk action threshold: RPN &gt; 100 = Mitigate (assumption; set your own in Dashboard!B12).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46" customWidth="1" min="3" max="3"/>
    <col width="14" customWidth="1" min="4" max="4"/>
    <col width="14" customWidth="1" min="5" max="5"/>
    <col width="14" customWidth="1" min="6" max="6"/>
    <col width="13" customWidth="1" min="7" max="7"/>
    <col width="11" customWidth="1" min="8" max="8"/>
    <col width="10" customWidth="1" min="9" max="9"/>
    <col width="9" customWidth="1" min="10" max="10"/>
  </cols>
  <sheetData>
    <row r="1">
      <c r="A1" s="3" t="inlineStr">
        <is>
          <t>Project</t>
        </is>
      </c>
      <c r="B1" s="3" t="inlineStr">
        <is>
          <t>Workstream</t>
        </is>
      </c>
      <c r="C1" s="3" t="inlineStr">
        <is>
          <t>Milestone</t>
        </is>
      </c>
      <c r="D1" s="3" t="inlineStr">
        <is>
          <t>Owner</t>
        </is>
      </c>
      <c r="E1" s="3" t="inlineStr">
        <is>
          <t>Baseline Date</t>
        </is>
      </c>
      <c r="F1" s="3" t="inlineStr">
        <is>
          <t>Forecast Date</t>
        </is>
      </c>
      <c r="G1" s="3" t="inlineStr">
        <is>
          <t>Status</t>
        </is>
      </c>
      <c r="H1" s="3" t="inlineStr">
        <is>
          <t>Critical Path (Y/N)</t>
        </is>
      </c>
      <c r="I1" s="3" t="inlineStr">
        <is>
          <t>Slip (days)</t>
        </is>
      </c>
      <c r="J1" s="3" t="inlineStr">
        <is>
          <t>RAG</t>
        </is>
      </c>
    </row>
    <row r="2">
      <c r="A2" s="4" t="inlineStr">
        <is>
          <t>TT-MR-Vaccine-SiteB</t>
        </is>
      </c>
      <c r="B2" s="4" t="inlineStr">
        <is>
          <t>Process</t>
        </is>
      </c>
      <c r="C2" s="4" t="inlineStr">
        <is>
          <t>Process description &amp; PFD frozen</t>
        </is>
      </c>
      <c r="D2" s="4" t="inlineStr">
        <is>
          <t>MSAT</t>
        </is>
      </c>
      <c r="E2" s="5" t="n">
        <v>46218</v>
      </c>
      <c r="F2" s="5" t="n">
        <v>46223</v>
      </c>
      <c r="G2" s="4" t="inlineStr">
        <is>
          <t>Complete</t>
        </is>
      </c>
      <c r="H2" s="4" t="inlineStr">
        <is>
          <t>Y</t>
        </is>
      </c>
      <c r="I2" s="6">
        <f>F2-E2</f>
        <v/>
      </c>
      <c r="J2" s="6">
        <f>IF(G2="Complete","Green",IF(OR(G2="Delayed",AND(H2="Y",I2&gt;30)),"Red",IF(OR(G2="At Risk",AND(I2&gt;=8,I2&lt;=30)),"Amber","Green")))</f>
        <v/>
      </c>
    </row>
    <row r="3">
      <c r="A3" s="4" t="inlineStr">
        <is>
          <t>TT-MR-Vaccine-SiteB</t>
        </is>
      </c>
      <c r="B3" s="4" t="inlineStr">
        <is>
          <t>Analytical</t>
        </is>
      </c>
      <c r="C3" s="4" t="inlineStr">
        <is>
          <t>Analytical method transfer protocol approved</t>
        </is>
      </c>
      <c r="D3" s="4" t="inlineStr">
        <is>
          <t>QC</t>
        </is>
      </c>
      <c r="E3" s="5" t="n">
        <v>46235</v>
      </c>
      <c r="F3" s="5" t="n">
        <v>46259</v>
      </c>
      <c r="G3" s="4" t="inlineStr">
        <is>
          <t>In Progress</t>
        </is>
      </c>
      <c r="H3" s="4" t="inlineStr">
        <is>
          <t>Y</t>
        </is>
      </c>
      <c r="I3" s="6">
        <f>F3-E3</f>
        <v/>
      </c>
      <c r="J3" s="6">
        <f>IF(G3="Complete","Green",IF(OR(G3="Delayed",AND(H3="Y",I3&gt;30)),"Red",IF(OR(G3="At Risk",AND(I3&gt;=8,I3&lt;=30)),"Amber","Green")))</f>
        <v/>
      </c>
    </row>
    <row r="4">
      <c r="A4" s="4" t="inlineStr">
        <is>
          <t>TT-MR-Vaccine-SiteB</t>
        </is>
      </c>
      <c r="B4" s="4" t="inlineStr">
        <is>
          <t>Equipment</t>
        </is>
      </c>
      <c r="C4" s="4" t="inlineStr">
        <is>
          <t>Bioreactor IQ/OQ complete</t>
        </is>
      </c>
      <c r="D4" s="4" t="inlineStr">
        <is>
          <t>Engineering</t>
        </is>
      </c>
      <c r="E4" s="5" t="n">
        <v>46249</v>
      </c>
      <c r="F4" s="5" t="n">
        <v>46295</v>
      </c>
      <c r="G4" s="4" t="inlineStr">
        <is>
          <t>Delayed</t>
        </is>
      </c>
      <c r="H4" s="4" t="inlineStr">
        <is>
          <t>Y</t>
        </is>
      </c>
      <c r="I4" s="6">
        <f>F4-E4</f>
        <v/>
      </c>
      <c r="J4" s="6">
        <f>IF(G4="Complete","Green",IF(OR(G4="Delayed",AND(H4="Y",I4&gt;30)),"Red",IF(OR(G4="At Risk",AND(I4&gt;=8,I4&lt;=30)),"Amber","Green")))</f>
        <v/>
      </c>
    </row>
    <row r="5">
      <c r="A5" s="4" t="inlineStr">
        <is>
          <t>TT-MR-Vaccine-SiteB</t>
        </is>
      </c>
      <c r="B5" s="4" t="inlineStr">
        <is>
          <t>Quality</t>
        </is>
      </c>
      <c r="C5" s="4" t="inlineStr">
        <is>
          <t>Change control CC-2026-118 approved</t>
        </is>
      </c>
      <c r="D5" s="4" t="inlineStr">
        <is>
          <t>QA</t>
        </is>
      </c>
      <c r="E5" s="5" t="n">
        <v>46233</v>
      </c>
      <c r="F5" s="5" t="n">
        <v>46233</v>
      </c>
      <c r="G5" s="4" t="inlineStr">
        <is>
          <t>Complete</t>
        </is>
      </c>
      <c r="H5" s="4" t="inlineStr">
        <is>
          <t>N</t>
        </is>
      </c>
      <c r="I5" s="6">
        <f>F5-E5</f>
        <v/>
      </c>
      <c r="J5" s="6">
        <f>IF(G5="Complete","Green",IF(OR(G5="Delayed",AND(H5="Y",I5&gt;30)),"Red",IF(OR(G5="At Risk",AND(I5&gt;=8,I5&lt;=30)),"Amber","Green")))</f>
        <v/>
      </c>
    </row>
    <row r="6">
      <c r="A6" s="4" t="inlineStr">
        <is>
          <t>TT-MR-Vaccine-SiteB</t>
        </is>
      </c>
      <c r="B6" s="4" t="inlineStr">
        <is>
          <t>Process</t>
        </is>
      </c>
      <c r="C6" s="4" t="inlineStr">
        <is>
          <t>Engineering batch 1 executed</t>
        </is>
      </c>
      <c r="D6" s="4" t="inlineStr">
        <is>
          <t>Production</t>
        </is>
      </c>
      <c r="E6" s="5" t="n">
        <v>46280</v>
      </c>
      <c r="F6" s="5" t="n">
        <v>46315</v>
      </c>
      <c r="G6" s="4" t="inlineStr">
        <is>
          <t>At Risk</t>
        </is>
      </c>
      <c r="H6" s="4" t="inlineStr">
        <is>
          <t>Y</t>
        </is>
      </c>
      <c r="I6" s="6">
        <f>F6-E6</f>
        <v/>
      </c>
      <c r="J6" s="6">
        <f>IF(G6="Complete","Green",IF(OR(G6="Delayed",AND(H6="Y",I6&gt;30)),"Red",IF(OR(G6="At Risk",AND(I6&gt;=8,I6&lt;=30)),"Amber","Green")))</f>
        <v/>
      </c>
    </row>
    <row r="7">
      <c r="A7" s="4" t="inlineStr">
        <is>
          <t>TT-MR-Vaccine-SiteB</t>
        </is>
      </c>
      <c r="B7" s="4" t="inlineStr">
        <is>
          <t>Regulatory</t>
        </is>
      </c>
      <c r="C7" s="4" t="inlineStr">
        <is>
          <t>Post-approval change filing strategy agreed</t>
        </is>
      </c>
      <c r="D7" s="4" t="inlineStr">
        <is>
          <t>RA</t>
        </is>
      </c>
      <c r="E7" s="5" t="n">
        <v>46266</v>
      </c>
      <c r="F7" s="5" t="n">
        <v>46275</v>
      </c>
      <c r="G7" s="4" t="inlineStr">
        <is>
          <t>In Progress</t>
        </is>
      </c>
      <c r="H7" s="4" t="inlineStr">
        <is>
          <t>N</t>
        </is>
      </c>
      <c r="I7" s="6">
        <f>F7-E7</f>
        <v/>
      </c>
      <c r="J7" s="6">
        <f>IF(G7="Complete","Green",IF(OR(G7="Delayed",AND(H7="Y",I7&gt;30)),"Red",IF(OR(G7="At Risk",AND(I7&gt;=8,I7&lt;=30)),"Amber","Green")))</f>
        <v/>
      </c>
    </row>
    <row r="8">
      <c r="A8" s="4" t="inlineStr">
        <is>
          <t>TT-MR-Vaccine-SiteB</t>
        </is>
      </c>
      <c r="B8" s="4" t="inlineStr">
        <is>
          <t>Process</t>
        </is>
      </c>
      <c r="C8" s="4" t="inlineStr">
        <is>
          <t>PPQ protocol approved</t>
        </is>
      </c>
      <c r="D8" s="4" t="inlineStr">
        <is>
          <t>QA</t>
        </is>
      </c>
      <c r="E8" s="5" t="n">
        <v>46310</v>
      </c>
      <c r="F8" s="5" t="n">
        <v>46341</v>
      </c>
      <c r="G8" s="4" t="inlineStr">
        <is>
          <t>Not Started</t>
        </is>
      </c>
      <c r="H8" s="4" t="inlineStr">
        <is>
          <t>Y</t>
        </is>
      </c>
      <c r="I8" s="6">
        <f>F8-E8</f>
        <v/>
      </c>
      <c r="J8" s="6">
        <f>IF(G8="Complete","Green",IF(OR(G8="Delayed",AND(H8="Y",I8&gt;30)),"Red",IF(OR(G8="At Risk",AND(I8&gt;=8,I8&lt;=30)),"Amber","Green")))</f>
        <v/>
      </c>
    </row>
    <row r="9">
      <c r="A9" s="4" t="inlineStr">
        <is>
          <t>TT-MR-Vaccine-SiteB</t>
        </is>
      </c>
      <c r="B9" s="4" t="inlineStr">
        <is>
          <t>Process</t>
        </is>
      </c>
      <c r="C9" s="4" t="inlineStr">
        <is>
          <t>PPQ batches 1-3 executed</t>
        </is>
      </c>
      <c r="D9" s="4" t="inlineStr">
        <is>
          <t>Production</t>
        </is>
      </c>
      <c r="E9" s="5" t="n">
        <v>46356</v>
      </c>
      <c r="F9" s="5" t="n">
        <v>46397</v>
      </c>
      <c r="G9" s="4" t="inlineStr">
        <is>
          <t>Not Started</t>
        </is>
      </c>
      <c r="H9" s="4" t="inlineStr">
        <is>
          <t>Y</t>
        </is>
      </c>
      <c r="I9" s="6">
        <f>F9-E9</f>
        <v/>
      </c>
      <c r="J9" s="6">
        <f>IF(G9="Complete","Green",IF(OR(G9="Delayed",AND(H9="Y",I9&gt;30)),"Red",IF(OR(G9="At Risk",AND(I9&gt;=8,I9&lt;=30)),"Amber","Green")))</f>
        <v/>
      </c>
    </row>
    <row r="10">
      <c r="A10" s="4" t="inlineStr">
        <is>
          <t>TT-MR-Vaccine-SiteB</t>
        </is>
      </c>
      <c r="B10" s="4" t="inlineStr">
        <is>
          <t>Regulatory</t>
        </is>
      </c>
      <c r="C10" s="4" t="inlineStr">
        <is>
          <t>Variation dossier (Module 3) submitted</t>
        </is>
      </c>
      <c r="D10" s="4" t="inlineStr">
        <is>
          <t>RA</t>
        </is>
      </c>
      <c r="E10" s="5" t="n">
        <v>46418</v>
      </c>
      <c r="F10" s="5" t="n">
        <v>46451</v>
      </c>
      <c r="G10" s="4" t="inlineStr">
        <is>
          <t>Not Started</t>
        </is>
      </c>
      <c r="H10" s="4" t="inlineStr">
        <is>
          <t>Y</t>
        </is>
      </c>
      <c r="I10" s="6">
        <f>F10-E10</f>
        <v/>
      </c>
      <c r="J10" s="6">
        <f>IF(G10="Complete","Green",IF(OR(G10="Delayed",AND(H10="Y",I10&gt;30)),"Red",IF(OR(G10="At Risk",AND(I10&gt;=8,I10&lt;=30)),"Amber","Green")))</f>
        <v/>
      </c>
    </row>
    <row r="11">
      <c r="A11" s="4" t="inlineStr">
        <is>
          <t>TT-Rabies-CDMO</t>
        </is>
      </c>
      <c r="B11" s="4" t="inlineStr">
        <is>
          <t>Analytical</t>
        </is>
      </c>
      <c r="C11" s="4" t="inlineStr">
        <is>
          <t>Potency assay transfer report signed</t>
        </is>
      </c>
      <c r="D11" s="4" t="inlineStr">
        <is>
          <t>QC</t>
        </is>
      </c>
      <c r="E11" s="5" t="n">
        <v>46254</v>
      </c>
      <c r="F11" s="5" t="n">
        <v>46252</v>
      </c>
      <c r="G11" s="4" t="inlineStr">
        <is>
          <t>Complete</t>
        </is>
      </c>
      <c r="H11" s="4" t="inlineStr">
        <is>
          <t>Y</t>
        </is>
      </c>
      <c r="I11" s="6">
        <f>F11-E11</f>
        <v/>
      </c>
      <c r="J11" s="6">
        <f>IF(G11="Complete","Green",IF(OR(G11="Delayed",AND(H11="Y",I11&gt;30)),"Red",IF(OR(G11="At Risk",AND(I11&gt;=8,I11&lt;=30)),"Amber","Green")))</f>
        <v/>
      </c>
    </row>
    <row r="12">
      <c r="A12" s="4" t="inlineStr">
        <is>
          <t>TT-Rabies-CDMO</t>
        </is>
      </c>
      <c r="B12" s="4" t="inlineStr">
        <is>
          <t>Supply</t>
        </is>
      </c>
      <c r="C12" s="4" t="inlineStr">
        <is>
          <t>Critical raw material 2nd source qualified</t>
        </is>
      </c>
      <c r="D12" s="4" t="inlineStr">
        <is>
          <t>Procurement</t>
        </is>
      </c>
      <c r="E12" s="5" t="n">
        <v>46295</v>
      </c>
      <c r="F12" s="5" t="n">
        <v>46371</v>
      </c>
      <c r="G12" s="4" t="inlineStr">
        <is>
          <t>Delayed</t>
        </is>
      </c>
      <c r="H12" s="4" t="inlineStr">
        <is>
          <t>N</t>
        </is>
      </c>
      <c r="I12" s="6">
        <f>F12-E12</f>
        <v/>
      </c>
      <c r="J12" s="6">
        <f>IF(G12="Complete","Green",IF(OR(G12="Delayed",AND(H12="Y",I12&gt;30)),"Red",IF(OR(G12="At Risk",AND(I12&gt;=8,I12&lt;=30)),"Amber","Green")))</f>
        <v/>
      </c>
    </row>
    <row r="13">
      <c r="A13" s="4" t="inlineStr">
        <is>
          <t>TT-Rabies-CDMO</t>
        </is>
      </c>
      <c r="B13" s="4" t="inlineStr">
        <is>
          <t>Process</t>
        </is>
      </c>
      <c r="C13" s="4" t="inlineStr">
        <is>
          <t>Scale-down model qualified</t>
        </is>
      </c>
      <c r="D13" s="4" t="inlineStr">
        <is>
          <t>MSAT</t>
        </is>
      </c>
      <c r="E13" s="5" t="n">
        <v>46285</v>
      </c>
      <c r="F13" s="5" t="n">
        <v>46290</v>
      </c>
      <c r="G13" s="4" t="inlineStr">
        <is>
          <t>In Progress</t>
        </is>
      </c>
      <c r="H13" s="4" t="inlineStr">
        <is>
          <t>Y</t>
        </is>
      </c>
      <c r="I13" s="6">
        <f>F13-E13</f>
        <v/>
      </c>
      <c r="J13" s="6">
        <f>IF(G13="Complete","Green",IF(OR(G13="Delayed",AND(H13="Y",I13&gt;30)),"Red",IF(OR(G13="At Risk",AND(I13&gt;=8,I13&lt;=30)),"Amber","Green")))</f>
        <v/>
      </c>
    </row>
  </sheetData>
  <conditionalFormatting sqref="J2:J13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dataValidations count="1">
    <dataValidation sqref="G2:G63" showDropDown="0" showInputMessage="0" showErrorMessage="0" allowBlank="0" type="list">
      <formula1>"Not Started,In Progress,At Risk,Delayed,Complete"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6" customWidth="1" min="3" max="3"/>
    <col width="12" customWidth="1" min="4" max="4"/>
    <col width="10" customWidth="1" min="5" max="5"/>
    <col width="11" customWidth="1" min="6" max="6"/>
    <col width="10" customWidth="1" min="7" max="7"/>
    <col width="8" customWidth="1" min="8" max="8"/>
    <col width="10" customWidth="1" min="9" max="9"/>
    <col width="13" customWidth="1" min="10" max="10"/>
    <col width="55" customWidth="1" min="11" max="11"/>
  </cols>
  <sheetData>
    <row r="1">
      <c r="A1" s="3" t="inlineStr">
        <is>
          <t>Risk ID</t>
        </is>
      </c>
      <c r="B1" s="3" t="inlineStr">
        <is>
          <t>Project</t>
        </is>
      </c>
      <c r="C1" s="3" t="inlineStr">
        <is>
          <t>Risk</t>
        </is>
      </c>
      <c r="D1" s="3" t="inlineStr">
        <is>
          <t>Category</t>
        </is>
      </c>
      <c r="E1" s="3" t="inlineStr">
        <is>
          <t>Severity (1-10)</t>
        </is>
      </c>
      <c r="F1" s="3" t="inlineStr">
        <is>
          <t>Occurrence (1-10)</t>
        </is>
      </c>
      <c r="G1" s="3" t="inlineStr">
        <is>
          <t>Detection (1-10)</t>
        </is>
      </c>
      <c r="H1" s="3" t="inlineStr">
        <is>
          <t>RPN</t>
        </is>
      </c>
      <c r="I1" s="3" t="inlineStr">
        <is>
          <t>Action</t>
        </is>
      </c>
      <c r="J1" s="3" t="inlineStr">
        <is>
          <t>Owner</t>
        </is>
      </c>
      <c r="K1" s="3" t="inlineStr">
        <is>
          <t>Mitigation</t>
        </is>
      </c>
    </row>
    <row r="2">
      <c r="A2" s="4" t="inlineStr">
        <is>
          <t>R-01</t>
        </is>
      </c>
      <c r="B2" s="4" t="inlineStr">
        <is>
          <t>TT-MR-Vaccine-SiteB</t>
        </is>
      </c>
      <c r="C2" s="4" t="inlineStr">
        <is>
          <t>Bioreactor IQ/OQ delay pushes engineering batch</t>
        </is>
      </c>
      <c r="D2" s="4" t="inlineStr">
        <is>
          <t>Equipment</t>
        </is>
      </c>
      <c r="E2" s="4" t="n">
        <v>8</v>
      </c>
      <c r="F2" s="4" t="n">
        <v>7</v>
      </c>
      <c r="G2" s="4" t="n">
        <v>3</v>
      </c>
      <c r="H2" s="6">
        <f>E2*F2*G2</f>
        <v/>
      </c>
      <c r="I2" s="6">
        <f>IF(H2&gt;Dashboard!$B$12,"Mitigate","Monitor")</f>
        <v/>
      </c>
      <c r="J2" s="4" t="inlineStr">
        <is>
          <t>Engineering</t>
        </is>
      </c>
      <c r="K2" s="4" t="inlineStr">
        <is>
          <t>Vendor FAT punch-list daily call; parallel OQ protocol review</t>
        </is>
      </c>
    </row>
    <row r="3">
      <c r="A3" s="4" t="inlineStr">
        <is>
          <t>R-02</t>
        </is>
      </c>
      <c r="B3" s="4" t="inlineStr">
        <is>
          <t>TT-MR-Vaccine-SiteB</t>
        </is>
      </c>
      <c r="C3" s="4" t="inlineStr">
        <is>
          <t>Analytical method transfer fails acceptance criteria</t>
        </is>
      </c>
      <c r="D3" s="4" t="inlineStr">
        <is>
          <t>Analytical</t>
        </is>
      </c>
      <c r="E3" s="4" t="n">
        <v>9</v>
      </c>
      <c r="F3" s="4" t="n">
        <v>4</v>
      </c>
      <c r="G3" s="4" t="n">
        <v>4</v>
      </c>
      <c r="H3" s="6">
        <f>E3*F3*G3</f>
        <v/>
      </c>
      <c r="I3" s="6">
        <f>IF(H3&gt;Dashboard!$B$12,"Mitigate","Monitor")</f>
        <v/>
      </c>
      <c r="J3" s="4" t="inlineStr">
        <is>
          <t>QC</t>
        </is>
      </c>
      <c r="K3" s="4" t="inlineStr">
        <is>
          <t>Pre-transfer comparability run on 3 lots</t>
        </is>
      </c>
    </row>
    <row r="4">
      <c r="A4" s="4" t="inlineStr">
        <is>
          <t>R-03</t>
        </is>
      </c>
      <c r="B4" s="4" t="inlineStr">
        <is>
          <t>TT-MR-Vaccine-SiteB</t>
        </is>
      </c>
      <c r="C4" s="4" t="inlineStr">
        <is>
          <t>Health authority asks for extra stability data</t>
        </is>
      </c>
      <c r="D4" s="4" t="inlineStr">
        <is>
          <t>Regulatory</t>
        </is>
      </c>
      <c r="E4" s="4" t="n">
        <v>7</v>
      </c>
      <c r="F4" s="4" t="n">
        <v>5</v>
      </c>
      <c r="G4" s="4" t="n">
        <v>6</v>
      </c>
      <c r="H4" s="6">
        <f>E4*F4*G4</f>
        <v/>
      </c>
      <c r="I4" s="6">
        <f>IF(H4&gt;Dashboard!$B$12,"Mitigate","Monitor")</f>
        <v/>
      </c>
      <c r="J4" s="4" t="inlineStr">
        <is>
          <t>RA</t>
        </is>
      </c>
      <c r="K4" s="4" t="inlineStr">
        <is>
          <t>Pre-submission meeting; start bridging stability now</t>
        </is>
      </c>
    </row>
    <row r="5">
      <c r="A5" s="4" t="inlineStr">
        <is>
          <t>R-04</t>
        </is>
      </c>
      <c r="B5" s="4" t="inlineStr">
        <is>
          <t>TT-Rabies-CDMO</t>
        </is>
      </c>
      <c r="C5" s="4" t="inlineStr">
        <is>
          <t>Single-source raw material supply interruption</t>
        </is>
      </c>
      <c r="D5" s="4" t="inlineStr">
        <is>
          <t>Supply</t>
        </is>
      </c>
      <c r="E5" s="4" t="n">
        <v>9</v>
      </c>
      <c r="F5" s="4" t="n">
        <v>5</v>
      </c>
      <c r="G5" s="4" t="n">
        <v>5</v>
      </c>
      <c r="H5" s="6">
        <f>E5*F5*G5</f>
        <v/>
      </c>
      <c r="I5" s="6">
        <f>IF(H5&gt;Dashboard!$B$12,"Mitigate","Monitor")</f>
        <v/>
      </c>
      <c r="J5" s="4" t="inlineStr">
        <is>
          <t>Procurement</t>
        </is>
      </c>
      <c r="K5" s="4" t="inlineStr">
        <is>
          <t>Safety stock 6 months; accelerate 2nd source</t>
        </is>
      </c>
    </row>
    <row r="6">
      <c r="A6" s="4" t="inlineStr">
        <is>
          <t>R-05</t>
        </is>
      </c>
      <c r="B6" s="4" t="inlineStr">
        <is>
          <t>TT-Rabies-CDMO</t>
        </is>
      </c>
      <c r="C6" s="4" t="inlineStr">
        <is>
          <t>Scale-down model not representative</t>
        </is>
      </c>
      <c r="D6" s="4" t="inlineStr">
        <is>
          <t>Process</t>
        </is>
      </c>
      <c r="E6" s="4" t="n">
        <v>6</v>
      </c>
      <c r="F6" s="4" t="n">
        <v>3</v>
      </c>
      <c r="G6" s="4" t="n">
        <v>4</v>
      </c>
      <c r="H6" s="6">
        <f>E6*F6*G6</f>
        <v/>
      </c>
      <c r="I6" s="6">
        <f>IF(H6&gt;Dashboard!$B$12,"Mitigate","Monitor")</f>
        <v/>
      </c>
      <c r="J6" s="4" t="inlineStr">
        <is>
          <t>MSAT</t>
        </is>
      </c>
      <c r="K6" s="4" t="inlineStr">
        <is>
          <t>Statistical equivalence (TOST) on key CQAs</t>
        </is>
      </c>
    </row>
    <row r="7">
      <c r="A7" s="4" t="inlineStr">
        <is>
          <t>R-06</t>
        </is>
      </c>
      <c r="B7" s="4" t="inlineStr">
        <is>
          <t>TT-MR-Vaccine-SiteB</t>
        </is>
      </c>
      <c r="C7" s="4" t="inlineStr">
        <is>
          <t>Key MSAT SME attrition</t>
        </is>
      </c>
      <c r="D7" s="4" t="inlineStr">
        <is>
          <t>Resource</t>
        </is>
      </c>
      <c r="E7" s="4" t="n">
        <v>5</v>
      </c>
      <c r="F7" s="4" t="n">
        <v>3</v>
      </c>
      <c r="G7" s="4" t="n">
        <v>2</v>
      </c>
      <c r="H7" s="6">
        <f>E7*F7*G7</f>
        <v/>
      </c>
      <c r="I7" s="6">
        <f>IF(H7&gt;Dashboard!$B$12,"Mitigate","Monitor")</f>
        <v/>
      </c>
      <c r="J7" s="4" t="inlineStr">
        <is>
          <t>PMO</t>
        </is>
      </c>
      <c r="K7" s="4" t="inlineStr">
        <is>
          <t>Knowledge-transfer plan; backup SME named</t>
        </is>
      </c>
    </row>
  </sheetData>
  <conditionalFormatting sqref="I2:I7">
    <cfRule type="cellIs" priority="1" operator="equal" dxfId="0">
      <formula>"Mitigate"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12" customWidth="1" min="5" max="5"/>
    <col width="14" customWidth="1" min="6" max="6"/>
    <col width="14" customWidth="1" min="7" max="7"/>
  </cols>
  <sheetData>
    <row r="1">
      <c r="A1" s="3" t="inlineStr">
        <is>
          <t>Project</t>
        </is>
      </c>
      <c r="B1" s="3" t="inlineStr">
        <is>
          <t>Red</t>
        </is>
      </c>
      <c r="C1" s="3" t="inlineStr">
        <is>
          <t>Amber</t>
        </is>
      </c>
      <c r="D1" s="3" t="inlineStr">
        <is>
          <t>Green</t>
        </is>
      </c>
      <c r="E1" s="3" t="inlineStr">
        <is>
          <t>Project RAG</t>
        </is>
      </c>
      <c r="F1" s="3" t="inlineStr">
        <is>
          <t>Risks to Mitigate</t>
        </is>
      </c>
      <c r="G1" s="3" t="inlineStr">
        <is>
          <t>Worst Slip (days)</t>
        </is>
      </c>
    </row>
    <row r="2">
      <c r="A2" s="6" t="inlineStr">
        <is>
          <t>TT-MR-Vaccine-SiteB</t>
        </is>
      </c>
      <c r="B2" s="6">
        <f>COUNTIFS(Milestones!$A$2:$A$13,$A2,Milestones!$J$2:$J$13,"Red")</f>
        <v/>
      </c>
      <c r="C2" s="6">
        <f>COUNTIFS(Milestones!$A$2:$A$13,$A2,Milestones!$J$2:$J$13,"Amber")</f>
        <v/>
      </c>
      <c r="D2" s="6">
        <f>COUNTIFS(Milestones!$A$2:$A$13,$A2,Milestones!$J$2:$J$13,"Green")</f>
        <v/>
      </c>
      <c r="E2" s="6">
        <f>IF(COUNTIFS(Milestones!$A$2:$A$13,$A2,Milestones!$H$2:$H$13,"Y",Milestones!$J$2:$J$13,"Red")&gt;0,"Red",IF(COUNTIFS(Milestones!$A$2:$A$13,$A2,Milestones!$H$2:$H$13,"Y",Milestones!$J$2:$J$13,"Amber")&gt;0,"Amber","Green"))</f>
        <v/>
      </c>
      <c r="F2" s="6">
        <f>COUNTIFS(Risks!$B$2:$B$7,$A2,Risks!$I$2:$I$7,"Mitigate")</f>
        <v/>
      </c>
      <c r="G2" s="6">
        <f>_xlfn.MAXIFS(Milestones!$I$2:$I$13,Milestones!$A$2:$A$13,$A2)</f>
        <v/>
      </c>
    </row>
    <row r="3">
      <c r="A3" s="6" t="inlineStr">
        <is>
          <t>TT-Rabies-CDMO</t>
        </is>
      </c>
      <c r="B3" s="6">
        <f>COUNTIFS(Milestones!$A$2:$A$13,$A3,Milestones!$J$2:$J$13,"Red")</f>
        <v/>
      </c>
      <c r="C3" s="6">
        <f>COUNTIFS(Milestones!$A$2:$A$13,$A3,Milestones!$J$2:$J$13,"Amber")</f>
        <v/>
      </c>
      <c r="D3" s="6">
        <f>COUNTIFS(Milestones!$A$2:$A$13,$A3,Milestones!$J$2:$J$13,"Green")</f>
        <v/>
      </c>
      <c r="E3" s="6">
        <f>IF(COUNTIFS(Milestones!$A$2:$A$13,$A3,Milestones!$H$2:$H$13,"Y",Milestones!$J$2:$J$13,"Red")&gt;0,"Red",IF(COUNTIFS(Milestones!$A$2:$A$13,$A3,Milestones!$H$2:$H$13,"Y",Milestones!$J$2:$J$13,"Amber")&gt;0,"Amber","Green"))</f>
        <v/>
      </c>
      <c r="F3" s="6">
        <f>COUNTIFS(Risks!$B$2:$B$7,$A3,Risks!$I$2:$I$7,"Mitigate")</f>
        <v/>
      </c>
      <c r="G3" s="6">
        <f>_xlfn.MAXIFS(Milestones!$I$2:$I$13,Milestones!$A$2:$A$13,$A3)</f>
        <v/>
      </c>
    </row>
    <row r="11">
      <c r="A11" s="1" t="inlineStr">
        <is>
          <t>Settings</t>
        </is>
      </c>
    </row>
    <row r="12">
      <c r="A12" s="6" t="inlineStr">
        <is>
          <t>RPN action threshold</t>
        </is>
      </c>
      <c r="B12" s="7" t="n">
        <v>100</v>
      </c>
      <c r="C12" s="8" t="inlineStr">
        <is>
          <t>Assumption: common pFMEA cut-off; adjust to your site's risk SOP</t>
        </is>
      </c>
    </row>
    <row r="14">
      <c r="A14" s="8" t="inlineStr">
        <is>
          <t>Built 02-Oct-2026 from labs/tt_milestones.csv</t>
        </is>
      </c>
    </row>
  </sheetData>
  <conditionalFormatting sqref="E2:E10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2026-10-02T19:21:02Z</dcterms:created>
  <dcterms:modified xsi:type="dcterms:W3CDTF">2026-10-02T19:21:02Z</dcterms:modified>
</cp:coreProperties>
</file>